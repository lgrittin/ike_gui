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local_repos\_private\ike_gui\db\"/>
    </mc:Choice>
  </mc:AlternateContent>
  <xr:revisionPtr revIDLastSave="0" documentId="13_ncr:1_{DEF722CA-B022-45B7-8D0B-4DFA8600ED89}" xr6:coauthVersionLast="47" xr6:coauthVersionMax="47" xr10:uidLastSave="{00000000-0000-0000-0000-000000000000}"/>
  <bookViews>
    <workbookView xWindow="-120" yWindow="-120" windowWidth="29040" windowHeight="15720" activeTab="1" xr2:uid="{35ECC9C5-EA02-4EE7-AAE2-09095EF705F3}"/>
  </bookViews>
  <sheets>
    <sheet name="params_data" sheetId="3" r:id="rId1"/>
    <sheet name="process_data" sheetId="4" r:id="rId2"/>
    <sheet name="fixed_point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2" i="4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" i="3"/>
  <c r="K3" i="4"/>
  <c r="L3" i="4" s="1"/>
  <c r="K4" i="4"/>
  <c r="L4" i="4" s="1"/>
  <c r="K5" i="4"/>
  <c r="L5" i="4" s="1"/>
  <c r="K6" i="4"/>
  <c r="L6" i="4" s="1"/>
  <c r="K7" i="4"/>
  <c r="L7" i="4" s="1"/>
  <c r="K8" i="4"/>
  <c r="L8" i="4" s="1"/>
  <c r="K9" i="4"/>
  <c r="L9" i="4" s="1"/>
  <c r="K10" i="4"/>
  <c r="L10" i="4" s="1"/>
  <c r="K11" i="4"/>
  <c r="L11" i="4" s="1"/>
  <c r="K12" i="4"/>
  <c r="L12" i="4" s="1"/>
  <c r="K13" i="4"/>
  <c r="L13" i="4" s="1"/>
  <c r="K14" i="4"/>
  <c r="L14" i="4" s="1"/>
  <c r="K15" i="4"/>
  <c r="L15" i="4" s="1"/>
  <c r="K2" i="4"/>
  <c r="L2" i="4" s="1"/>
  <c r="M25" i="3"/>
  <c r="N25" i="3" s="1"/>
  <c r="M24" i="3"/>
  <c r="N24" i="3" s="1"/>
  <c r="M23" i="3"/>
  <c r="N23" i="3" s="1"/>
  <c r="M22" i="3"/>
  <c r="N22" i="3" s="1"/>
  <c r="M21" i="3"/>
  <c r="N21" i="3" s="1"/>
  <c r="M20" i="3"/>
  <c r="N20" i="3" s="1"/>
  <c r="M19" i="3"/>
  <c r="N19" i="3" s="1"/>
  <c r="M18" i="3"/>
  <c r="N18" i="3" s="1"/>
  <c r="M17" i="3"/>
  <c r="N17" i="3" s="1"/>
  <c r="M16" i="3"/>
  <c r="N16" i="3" s="1"/>
  <c r="M15" i="3"/>
  <c r="N15" i="3" s="1"/>
  <c r="M14" i="3"/>
  <c r="N14" i="3" s="1"/>
  <c r="M13" i="3"/>
  <c r="N13" i="3" s="1"/>
  <c r="M12" i="3"/>
  <c r="N12" i="3" s="1"/>
  <c r="M11" i="3"/>
  <c r="N11" i="3" s="1"/>
  <c r="M10" i="3"/>
  <c r="N10" i="3" s="1"/>
  <c r="M9" i="3"/>
  <c r="N9" i="3" s="1"/>
  <c r="M8" i="3"/>
  <c r="N8" i="3" s="1"/>
  <c r="M7" i="3"/>
  <c r="N7" i="3" s="1"/>
  <c r="M6" i="3"/>
  <c r="N6" i="3" s="1"/>
  <c r="M5" i="3"/>
  <c r="N5" i="3" s="1"/>
  <c r="M4" i="3"/>
  <c r="N4" i="3" s="1"/>
  <c r="M3" i="3"/>
  <c r="N3" i="3" s="1"/>
  <c r="M2" i="3"/>
  <c r="N2" i="3" s="1"/>
  <c r="H10" i="2"/>
  <c r="D10" i="2" s="1"/>
  <c r="C10" i="2"/>
  <c r="H9" i="2"/>
  <c r="D9" i="2" s="1"/>
  <c r="C9" i="2"/>
  <c r="H8" i="2"/>
  <c r="D8" i="2" s="1"/>
  <c r="C8" i="2"/>
  <c r="H7" i="2"/>
  <c r="D7" i="2" s="1"/>
  <c r="C7" i="2"/>
  <c r="H6" i="2"/>
  <c r="D6" i="2" s="1"/>
  <c r="C6" i="2"/>
  <c r="H5" i="2"/>
  <c r="D5" i="2" s="1"/>
  <c r="C5" i="2"/>
  <c r="H4" i="2"/>
  <c r="D4" i="2" s="1"/>
  <c r="C4" i="2"/>
  <c r="H3" i="2"/>
  <c r="D3" i="2" s="1"/>
  <c r="C3" i="2"/>
  <c r="H2" i="2"/>
  <c r="D2" i="2" s="1"/>
  <c r="C2" i="2"/>
  <c r="G4" i="2" l="1"/>
  <c r="F4" i="2"/>
  <c r="E4" i="2"/>
  <c r="G5" i="2"/>
  <c r="F5" i="2"/>
  <c r="E5" i="2"/>
  <c r="G6" i="2"/>
  <c r="F6" i="2"/>
  <c r="E6" i="2"/>
  <c r="G8" i="2"/>
  <c r="F8" i="2"/>
  <c r="E8" i="2"/>
  <c r="G10" i="2"/>
  <c r="F10" i="2"/>
  <c r="E10" i="2"/>
  <c r="E7" i="2"/>
  <c r="G7" i="2"/>
  <c r="F7" i="2"/>
  <c r="G2" i="2"/>
  <c r="F2" i="2"/>
  <c r="E2" i="2"/>
  <c r="G3" i="2"/>
  <c r="F3" i="2"/>
  <c r="E3" i="2"/>
  <c r="G9" i="2"/>
  <c r="F9" i="2"/>
  <c r="E9" i="2"/>
</calcChain>
</file>

<file path=xl/sharedStrings.xml><?xml version="1.0" encoding="utf-8"?>
<sst xmlns="http://schemas.openxmlformats.org/spreadsheetml/2006/main" count="225" uniqueCount="121">
  <si>
    <t>type</t>
  </si>
  <si>
    <t>dsp_name</t>
  </si>
  <si>
    <t>val_default</t>
  </si>
  <si>
    <t>val_min</t>
  </si>
  <si>
    <t>val_max</t>
  </si>
  <si>
    <t>description</t>
  </si>
  <si>
    <t>dsp_family</t>
  </si>
  <si>
    <t>CTRL_INPUT</t>
  </si>
  <si>
    <t>SCR_SETTINGS</t>
  </si>
  <si>
    <t>IGBT_SETTINGS</t>
  </si>
  <si>
    <t>adc.adc_ctrl_fdb_rect.v_inv_rect_gain</t>
  </si>
  <si>
    <t>ADC_SETTINGS</t>
  </si>
  <si>
    <t>adc.adc_ctrl_fdb_rect.v_inv_rect_offset</t>
  </si>
  <si>
    <t>adc.adc_ctrl_fdb_rect.i_inv_rect_gain</t>
  </si>
  <si>
    <t>adc.adc_ctrl_fdb_rect.i_inv_rect_offset</t>
  </si>
  <si>
    <t>adc.adc_sys.ntc1_gain</t>
  </si>
  <si>
    <t>adc.adc_sys.ntc1_offset</t>
  </si>
  <si>
    <t>adc.adc_sys.ntc2_gain</t>
  </si>
  <si>
    <t>adc.adc_sys.ntc2_offset</t>
  </si>
  <si>
    <t>adc.adc_sys.pot_gain</t>
  </si>
  <si>
    <t>adc.adc_sys.pot_offset</t>
  </si>
  <si>
    <t>PROTECTION</t>
  </si>
  <si>
    <t>abilita sweep igbt</t>
  </si>
  <si>
    <t>val_actual</t>
  </si>
  <si>
    <t>single_steps</t>
  </si>
  <si>
    <t>id_address</t>
  </si>
  <si>
    <t>word</t>
  </si>
  <si>
    <t>uint</t>
  </si>
  <si>
    <t>ctrl_input.init_time_ms</t>
  </si>
  <si>
    <t>ctrl_input.freq_estim_time_ms</t>
  </si>
  <si>
    <t>scr_settings.en_manual_alfa</t>
  </si>
  <si>
    <t>scr_settings.scr_cmd_alfa_set</t>
  </si>
  <si>
    <t>scr_settings.scr_cmd_alfa_check_50hz</t>
  </si>
  <si>
    <t>scr_settings.scr_cmd_alfa_check_60hz</t>
  </si>
  <si>
    <t>scr_settings.freeze_scr_ramp_time_ms</t>
  </si>
  <si>
    <t>scr_settings.scr_ramp_time_ms</t>
  </si>
  <si>
    <t>igbt_settings.igbt_main_freq</t>
  </si>
  <si>
    <t>igbt_settings.sweep_amplitude</t>
  </si>
  <si>
    <t>igbt_settings.sweep_freq</t>
  </si>
  <si>
    <t>igbt_settings.en_sweep</t>
  </si>
  <si>
    <t>protection.i_inv_oc</t>
  </si>
  <si>
    <t>unit</t>
  </si>
  <si>
    <t>-</t>
  </si>
  <si>
    <t>durata fase init</t>
  </si>
  <si>
    <t>ms</t>
  </si>
  <si>
    <t>durata fase misura frequenza</t>
  </si>
  <si>
    <t>abilita settaggio manuale apertura scr</t>
  </si>
  <si>
    <t>valore settaggio manuale apertura scr</t>
  </si>
  <si>
    <t>bool</t>
  </si>
  <si>
    <t>deg</t>
  </si>
  <si>
    <t>kHz</t>
  </si>
  <si>
    <t>Hz</t>
  </si>
  <si>
    <t>V</t>
  </si>
  <si>
    <t>A</t>
  </si>
  <si>
    <t>cels</t>
  </si>
  <si>
    <t>pu</t>
  </si>
  <si>
    <t>valore apertura scr durante il check a 50Hz</t>
  </si>
  <si>
    <t>valore apertura scr durante il check a 60Hz</t>
  </si>
  <si>
    <t>durata apertura scr ridotta per check</t>
  </si>
  <si>
    <t>tempo per la rampa scr</t>
  </si>
  <si>
    <t>frequenza principale igbt</t>
  </si>
  <si>
    <t>range modulante sinusoidale sweep igbt</t>
  </si>
  <si>
    <t>frequenza modulante sinusoidale sweep igbt</t>
  </si>
  <si>
    <t>adattamento adc v_inv_rect_gain</t>
  </si>
  <si>
    <t>adattamento adc v_inv_rect_offset</t>
  </si>
  <si>
    <t>adattamento adc i_inv_rect_gain</t>
  </si>
  <si>
    <t>adattamento adc i_inv_rect_offset</t>
  </si>
  <si>
    <t>adattamento adc ntc1_gain</t>
  </si>
  <si>
    <t>adattamento adc ntc1_offset</t>
  </si>
  <si>
    <t>adattamento adc ntc2_gain</t>
  </si>
  <si>
    <t>adattamento adc ntc2_offset</t>
  </si>
  <si>
    <t>adattamento adc pot_gain</t>
  </si>
  <si>
    <t>adattamento adc pot_offset</t>
  </si>
  <si>
    <t>valore di scatto sovracorrente AC</t>
  </si>
  <si>
    <t>kp_to_modbus</t>
  </si>
  <si>
    <t>dec</t>
  </si>
  <si>
    <t>w</t>
  </si>
  <si>
    <t>f</t>
  </si>
  <si>
    <t>range uns</t>
  </si>
  <si>
    <t>range sig-</t>
  </si>
  <si>
    <t>range sig+</t>
  </si>
  <si>
    <t>pot_f</t>
  </si>
  <si>
    <t>real</t>
  </si>
  <si>
    <t>CTRL_OUTPUT</t>
  </si>
  <si>
    <t>ADC_OUTPUT</t>
  </si>
  <si>
    <t>SCR_OUTPUT</t>
  </si>
  <si>
    <t>IGBT_OUTPUT</t>
  </si>
  <si>
    <t>DGN_OUTPUT</t>
  </si>
  <si>
    <t>numero conteggi invalidi misura frequenza</t>
  </si>
  <si>
    <t>scr_out.cmd_alfa</t>
  </si>
  <si>
    <t>igbt_out.igbt_actual_freq</t>
  </si>
  <si>
    <t>scr_out.scr_synch_freq</t>
  </si>
  <si>
    <t>sts_out.alm_wd_1</t>
  </si>
  <si>
    <t>sts_out.sts_wd_1</t>
  </si>
  <si>
    <t>adc_out.adc_ctrl_fdb.v_inv_f</t>
  </si>
  <si>
    <t>adc_out.adc_ctrl_fdb.i_inv_f</t>
  </si>
  <si>
    <t>adc_out.adc_ctrl_fdb_rect.v_inv_rect_f</t>
  </si>
  <si>
    <t>adc_out.adc_ctrl_fdb_rect.i_inv_rect_f</t>
  </si>
  <si>
    <t>adc_out.adc_sys.ntc1_f</t>
  </si>
  <si>
    <t>adc_out.adc_sys.ntc2_f</t>
  </si>
  <si>
    <t>adc_out.adc_sys.pot_f</t>
  </si>
  <si>
    <t>cmd_in.cmd_wd_1</t>
  </si>
  <si>
    <t>apertura scr</t>
  </si>
  <si>
    <t>contatore isr timer 0</t>
  </si>
  <si>
    <t>frequenza attuale ingresso</t>
  </si>
  <si>
    <t>valore potenziometro</t>
  </si>
  <si>
    <t>temperatura ntc1</t>
  </si>
  <si>
    <t>temperatura ntc2</t>
  </si>
  <si>
    <t>word comando 1</t>
  </si>
  <si>
    <t>word stato 1</t>
  </si>
  <si>
    <t>word allarme 1</t>
  </si>
  <si>
    <t>diagn_out.scr_synch_invalid_cnt</t>
  </si>
  <si>
    <t>diagn_out.main_fsm_loop_time_ms</t>
  </si>
  <si>
    <t>tensione uscita (rms)</t>
  </si>
  <si>
    <t>corrente uscita (rms)</t>
  </si>
  <si>
    <t>tensione uscita (rettificata)</t>
  </si>
  <si>
    <t>corrente uscita (rettificata)</t>
  </si>
  <si>
    <t>frequenza attuale igbt</t>
  </si>
  <si>
    <t>decimal</t>
  </si>
  <si>
    <t>precision</t>
  </si>
  <si>
    <t>val_modbus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</si>
</sst>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000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1" fontId="1" fillId="0" borderId="0" xfId="0" quotePrefix="1" applyNumberFormat="1" applyFont="1" applyAlignment="1">
      <alignment horizontal="lef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Alignment="1">
      <alignment horizontal="left"/>
    </xf>
    <xf numFmtId="0" fontId="1" fillId="0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167" fontId="1" fillId="0" borderId="1" xfId="0" applyNumberFormat="1" applyFont="1" applyFill="1" applyBorder="1" applyAlignment="1">
      <alignment horizontal="left"/>
    </xf>
    <xf numFmtId="1" fontId="1" fillId="0" borderId="1" xfId="0" applyNumberFormat="1" applyFont="1" applyFill="1" applyBorder="1" applyAlignment="1">
      <alignment horizontal="left"/>
    </xf>
    <xf numFmtId="0" fontId="1" fillId="0" borderId="0" xfId="0" applyFont="1"/>
    <xf numFmtId="0" fontId="1" fillId="0" borderId="0" xfId="0" quotePrefix="1" applyFont="1"/>
    <xf numFmtId="167" fontId="0" fillId="0" borderId="0" xfId="0" applyNumberFormat="1"/>
    <xf numFmtId="1" fontId="1" fillId="0" borderId="0" xfId="0" applyNumberFormat="1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4683B-FCD6-4588-95EF-98C161CB4A4F}">
  <dimension ref="A1:O25"/>
  <sheetViews>
    <sheetView workbookViewId="0">
      <selection activeCell="M2" sqref="M2"/>
    </sheetView>
  </sheetViews>
  <sheetFormatPr defaultRowHeight="15" x14ac:dyDescent="0.25"/>
  <cols>
    <col min="1" max="1" width="9.7109375" bestFit="1" customWidth="1"/>
    <col min="2" max="2" width="15.5703125" bestFit="1" customWidth="1"/>
    <col min="3" max="3" width="4.85546875" bestFit="1" customWidth="1"/>
    <col min="4" max="4" width="8.28515625" bestFit="1" customWidth="1"/>
    <col min="5" max="5" width="10.85546875" bestFit="1" customWidth="1"/>
    <col min="6" max="6" width="11.42578125" bestFit="1" customWidth="1"/>
    <col min="7" max="7" width="9.42578125" bestFit="1" customWidth="1"/>
    <col min="8" max="8" width="7.140625" bestFit="1" customWidth="1"/>
    <col min="9" max="9" width="7.5703125" bestFit="1" customWidth="1"/>
    <col min="10" max="10" width="4.42578125" bestFit="1" customWidth="1"/>
    <col min="11" max="11" width="36.7109375" bestFit="1" customWidth="1"/>
    <col min="12" max="12" width="33" bestFit="1" customWidth="1"/>
    <col min="13" max="13" width="12.7109375" bestFit="1" customWidth="1"/>
    <col min="14" max="14" width="9.28515625" bestFit="1" customWidth="1"/>
    <col min="15" max="15" width="10.5703125" bestFit="1" customWidth="1"/>
  </cols>
  <sheetData>
    <row r="1" spans="1:15" ht="16.5" x14ac:dyDescent="0.3">
      <c r="A1" s="1" t="s">
        <v>25</v>
      </c>
      <c r="B1" s="1" t="s">
        <v>6</v>
      </c>
      <c r="C1" s="1" t="s">
        <v>0</v>
      </c>
      <c r="D1" s="1" t="s">
        <v>118</v>
      </c>
      <c r="E1" s="1" t="s">
        <v>24</v>
      </c>
      <c r="F1" s="7" t="s">
        <v>23</v>
      </c>
      <c r="G1" s="1" t="s">
        <v>2</v>
      </c>
      <c r="H1" s="1" t="s">
        <v>3</v>
      </c>
      <c r="I1" s="1" t="s">
        <v>4</v>
      </c>
      <c r="J1" s="1" t="s">
        <v>41</v>
      </c>
      <c r="K1" s="1" t="s">
        <v>5</v>
      </c>
      <c r="L1" s="1" t="s">
        <v>1</v>
      </c>
      <c r="M1" s="4" t="s">
        <v>74</v>
      </c>
      <c r="N1" s="4" t="s">
        <v>119</v>
      </c>
      <c r="O1" s="1" t="s">
        <v>120</v>
      </c>
    </row>
    <row r="2" spans="1:15" ht="16.5" x14ac:dyDescent="0.3">
      <c r="A2" s="1">
        <v>100</v>
      </c>
      <c r="B2" s="1" t="s">
        <v>7</v>
      </c>
      <c r="C2" s="1" t="s">
        <v>26</v>
      </c>
      <c r="D2" s="1">
        <v>0</v>
      </c>
      <c r="E2" s="1">
        <v>1</v>
      </c>
      <c r="F2" s="2">
        <f>G2</f>
        <v>0</v>
      </c>
      <c r="G2" s="2">
        <v>0</v>
      </c>
      <c r="H2" s="2">
        <v>0</v>
      </c>
      <c r="I2" s="2">
        <v>65535</v>
      </c>
      <c r="J2" s="6" t="s">
        <v>42</v>
      </c>
      <c r="K2" s="1" t="s">
        <v>108</v>
      </c>
      <c r="L2" s="1" t="s">
        <v>101</v>
      </c>
      <c r="M2" s="8">
        <f t="shared" ref="M2:M25" si="0">65535/(I2-H2)</f>
        <v>1</v>
      </c>
      <c r="N2" s="8">
        <f t="shared" ref="N2:N25" si="1">1/M2</f>
        <v>1</v>
      </c>
      <c r="O2">
        <f>ROUND((F2-H2)*M2,0)</f>
        <v>0</v>
      </c>
    </row>
    <row r="3" spans="1:15" ht="16.5" x14ac:dyDescent="0.3">
      <c r="A3" s="1">
        <v>101</v>
      </c>
      <c r="B3" s="1" t="s">
        <v>7</v>
      </c>
      <c r="C3" s="1" t="s">
        <v>27</v>
      </c>
      <c r="D3" s="1">
        <v>0</v>
      </c>
      <c r="E3" s="1">
        <v>10</v>
      </c>
      <c r="F3" s="2">
        <f t="shared" ref="F3:F25" si="2">G3</f>
        <v>500</v>
      </c>
      <c r="G3" s="2">
        <v>500</v>
      </c>
      <c r="H3" s="2">
        <v>100</v>
      </c>
      <c r="I3" s="2">
        <v>15000</v>
      </c>
      <c r="J3" s="2" t="s">
        <v>44</v>
      </c>
      <c r="K3" s="1" t="s">
        <v>43</v>
      </c>
      <c r="L3" s="1" t="s">
        <v>28</v>
      </c>
      <c r="M3" s="8">
        <f t="shared" si="0"/>
        <v>4.3983221476510064</v>
      </c>
      <c r="N3" s="8">
        <f t="shared" si="1"/>
        <v>0.22735942626077671</v>
      </c>
      <c r="O3">
        <f t="shared" ref="O3:O25" si="3">ROUND((F3-H3)*M3,0)</f>
        <v>1759</v>
      </c>
    </row>
    <row r="4" spans="1:15" ht="16.5" x14ac:dyDescent="0.3">
      <c r="A4" s="1">
        <v>102</v>
      </c>
      <c r="B4" s="1" t="s">
        <v>7</v>
      </c>
      <c r="C4" s="1" t="s">
        <v>27</v>
      </c>
      <c r="D4" s="1">
        <v>0</v>
      </c>
      <c r="E4" s="1">
        <v>10</v>
      </c>
      <c r="F4" s="2">
        <f t="shared" si="2"/>
        <v>1000</v>
      </c>
      <c r="G4" s="2">
        <v>1000</v>
      </c>
      <c r="H4" s="2">
        <v>100</v>
      </c>
      <c r="I4" s="2">
        <v>15000</v>
      </c>
      <c r="J4" s="2" t="s">
        <v>44</v>
      </c>
      <c r="K4" s="1" t="s">
        <v>45</v>
      </c>
      <c r="L4" s="1" t="s">
        <v>29</v>
      </c>
      <c r="M4" s="8">
        <f t="shared" si="0"/>
        <v>4.3983221476510064</v>
      </c>
      <c r="N4" s="8">
        <f t="shared" si="1"/>
        <v>0.22735942626077671</v>
      </c>
      <c r="O4">
        <f t="shared" si="3"/>
        <v>3958</v>
      </c>
    </row>
    <row r="5" spans="1:15" ht="16.5" x14ac:dyDescent="0.3">
      <c r="A5" s="1">
        <v>103</v>
      </c>
      <c r="B5" s="1" t="s">
        <v>8</v>
      </c>
      <c r="C5" s="1" t="s">
        <v>27</v>
      </c>
      <c r="D5" s="1">
        <v>0</v>
      </c>
      <c r="E5" s="1">
        <v>1</v>
      </c>
      <c r="F5" s="2">
        <f t="shared" si="2"/>
        <v>0</v>
      </c>
      <c r="G5" s="2">
        <v>0</v>
      </c>
      <c r="H5" s="2">
        <v>0</v>
      </c>
      <c r="I5" s="2">
        <v>1</v>
      </c>
      <c r="J5" s="2" t="s">
        <v>48</v>
      </c>
      <c r="K5" s="1" t="s">
        <v>46</v>
      </c>
      <c r="L5" s="1" t="s">
        <v>30</v>
      </c>
      <c r="M5" s="8">
        <f t="shared" si="0"/>
        <v>65535</v>
      </c>
      <c r="N5" s="8">
        <f t="shared" si="1"/>
        <v>1.5259021896696422E-5</v>
      </c>
      <c r="O5">
        <f t="shared" si="3"/>
        <v>0</v>
      </c>
    </row>
    <row r="6" spans="1:15" ht="16.5" x14ac:dyDescent="0.3">
      <c r="A6" s="1">
        <v>104</v>
      </c>
      <c r="B6" s="1" t="s">
        <v>8</v>
      </c>
      <c r="C6" s="1" t="s">
        <v>82</v>
      </c>
      <c r="D6" s="1">
        <v>2</v>
      </c>
      <c r="E6" s="3">
        <v>0.1</v>
      </c>
      <c r="F6" s="3">
        <f t="shared" si="2"/>
        <v>359.99900000000002</v>
      </c>
      <c r="G6" s="3">
        <v>359.99900000000002</v>
      </c>
      <c r="H6" s="3">
        <v>0</v>
      </c>
      <c r="I6" s="3">
        <v>359.99</v>
      </c>
      <c r="J6" s="3" t="s">
        <v>49</v>
      </c>
      <c r="K6" s="1" t="s">
        <v>47</v>
      </c>
      <c r="L6" s="1" t="s">
        <v>31</v>
      </c>
      <c r="M6" s="8">
        <f t="shared" si="0"/>
        <v>182.04672352009777</v>
      </c>
      <c r="N6" s="8">
        <f t="shared" si="1"/>
        <v>5.493095292591745E-3</v>
      </c>
      <c r="O6">
        <f t="shared" si="3"/>
        <v>65537</v>
      </c>
    </row>
    <row r="7" spans="1:15" ht="16.5" x14ac:dyDescent="0.3">
      <c r="A7" s="1">
        <v>105</v>
      </c>
      <c r="B7" s="1" t="s">
        <v>8</v>
      </c>
      <c r="C7" s="1" t="s">
        <v>82</v>
      </c>
      <c r="D7" s="1">
        <v>2</v>
      </c>
      <c r="E7" s="3">
        <v>0.1</v>
      </c>
      <c r="F7" s="3">
        <f t="shared" si="2"/>
        <v>357</v>
      </c>
      <c r="G7" s="3">
        <v>357</v>
      </c>
      <c r="H7" s="3">
        <v>0</v>
      </c>
      <c r="I7" s="3">
        <v>359.99</v>
      </c>
      <c r="J7" s="3" t="s">
        <v>49</v>
      </c>
      <c r="K7" s="1" t="s">
        <v>56</v>
      </c>
      <c r="L7" s="1" t="s">
        <v>32</v>
      </c>
      <c r="M7" s="8">
        <f t="shared" si="0"/>
        <v>182.04672352009777</v>
      </c>
      <c r="N7" s="8">
        <f t="shared" si="1"/>
        <v>5.493095292591745E-3</v>
      </c>
      <c r="O7">
        <f t="shared" si="3"/>
        <v>64991</v>
      </c>
    </row>
    <row r="8" spans="1:15" ht="16.5" x14ac:dyDescent="0.3">
      <c r="A8" s="1">
        <v>106</v>
      </c>
      <c r="B8" s="1" t="s">
        <v>8</v>
      </c>
      <c r="C8" s="1" t="s">
        <v>82</v>
      </c>
      <c r="D8" s="1">
        <v>2</v>
      </c>
      <c r="E8" s="3">
        <v>0.1</v>
      </c>
      <c r="F8" s="3">
        <f t="shared" si="2"/>
        <v>357</v>
      </c>
      <c r="G8" s="3">
        <v>357</v>
      </c>
      <c r="H8" s="3">
        <v>0</v>
      </c>
      <c r="I8" s="3">
        <v>359.99</v>
      </c>
      <c r="J8" s="3" t="s">
        <v>49</v>
      </c>
      <c r="K8" s="1" t="s">
        <v>57</v>
      </c>
      <c r="L8" s="1" t="s">
        <v>33</v>
      </c>
      <c r="M8" s="8">
        <f t="shared" si="0"/>
        <v>182.04672352009777</v>
      </c>
      <c r="N8" s="8">
        <f t="shared" si="1"/>
        <v>5.493095292591745E-3</v>
      </c>
      <c r="O8">
        <f t="shared" si="3"/>
        <v>64991</v>
      </c>
    </row>
    <row r="9" spans="1:15" ht="16.5" x14ac:dyDescent="0.3">
      <c r="A9" s="1">
        <v>107</v>
      </c>
      <c r="B9" s="1" t="s">
        <v>8</v>
      </c>
      <c r="C9" s="1" t="s">
        <v>27</v>
      </c>
      <c r="D9" s="1">
        <v>0</v>
      </c>
      <c r="E9" s="1">
        <v>10</v>
      </c>
      <c r="F9" s="2">
        <f t="shared" si="2"/>
        <v>2000</v>
      </c>
      <c r="G9" s="2">
        <v>2000</v>
      </c>
      <c r="H9" s="2">
        <v>0</v>
      </c>
      <c r="I9" s="2">
        <v>65535</v>
      </c>
      <c r="J9" s="2" t="s">
        <v>44</v>
      </c>
      <c r="K9" s="1" t="s">
        <v>58</v>
      </c>
      <c r="L9" s="1" t="s">
        <v>34</v>
      </c>
      <c r="M9" s="8">
        <f t="shared" si="0"/>
        <v>1</v>
      </c>
      <c r="N9" s="8">
        <f t="shared" si="1"/>
        <v>1</v>
      </c>
      <c r="O9">
        <f t="shared" si="3"/>
        <v>2000</v>
      </c>
    </row>
    <row r="10" spans="1:15" ht="16.5" x14ac:dyDescent="0.3">
      <c r="A10" s="1">
        <v>108</v>
      </c>
      <c r="B10" s="1" t="s">
        <v>8</v>
      </c>
      <c r="C10" s="1" t="s">
        <v>27</v>
      </c>
      <c r="D10" s="1">
        <v>0</v>
      </c>
      <c r="E10" s="1">
        <v>10</v>
      </c>
      <c r="F10" s="2">
        <f t="shared" si="2"/>
        <v>40000</v>
      </c>
      <c r="G10" s="2">
        <v>40000</v>
      </c>
      <c r="H10" s="2">
        <v>0</v>
      </c>
      <c r="I10" s="2">
        <v>65535</v>
      </c>
      <c r="J10" s="2" t="s">
        <v>44</v>
      </c>
      <c r="K10" s="1" t="s">
        <v>59</v>
      </c>
      <c r="L10" s="1" t="s">
        <v>35</v>
      </c>
      <c r="M10" s="8">
        <f t="shared" si="0"/>
        <v>1</v>
      </c>
      <c r="N10" s="8">
        <f t="shared" si="1"/>
        <v>1</v>
      </c>
      <c r="O10">
        <f t="shared" si="3"/>
        <v>40000</v>
      </c>
    </row>
    <row r="11" spans="1:15" ht="16.5" x14ac:dyDescent="0.3">
      <c r="A11" s="1">
        <v>109</v>
      </c>
      <c r="B11" s="1" t="s">
        <v>9</v>
      </c>
      <c r="C11" s="1" t="s">
        <v>82</v>
      </c>
      <c r="D11" s="1">
        <v>3</v>
      </c>
      <c r="E11" s="1">
        <v>0.1</v>
      </c>
      <c r="F11" s="4">
        <f t="shared" si="2"/>
        <v>22</v>
      </c>
      <c r="G11" s="4">
        <v>22</v>
      </c>
      <c r="H11" s="4">
        <v>15</v>
      </c>
      <c r="I11" s="4">
        <v>30</v>
      </c>
      <c r="J11" s="5" t="s">
        <v>50</v>
      </c>
      <c r="K11" s="1" t="s">
        <v>60</v>
      </c>
      <c r="L11" s="1" t="s">
        <v>36</v>
      </c>
      <c r="M11" s="8">
        <f t="shared" si="0"/>
        <v>4369</v>
      </c>
      <c r="N11" s="8">
        <f t="shared" si="1"/>
        <v>2.2888532845044633E-4</v>
      </c>
      <c r="O11">
        <f t="shared" si="3"/>
        <v>30583</v>
      </c>
    </row>
    <row r="12" spans="1:15" ht="16.5" x14ac:dyDescent="0.3">
      <c r="A12" s="1">
        <v>110</v>
      </c>
      <c r="B12" s="1" t="s">
        <v>9</v>
      </c>
      <c r="C12" s="1" t="s">
        <v>82</v>
      </c>
      <c r="D12" s="1">
        <v>3</v>
      </c>
      <c r="E12" s="1">
        <v>0.01</v>
      </c>
      <c r="F12" s="4">
        <f t="shared" si="2"/>
        <v>10</v>
      </c>
      <c r="G12" s="4">
        <v>10</v>
      </c>
      <c r="H12" s="4">
        <v>0</v>
      </c>
      <c r="I12" s="4">
        <v>20</v>
      </c>
      <c r="J12" s="5" t="s">
        <v>50</v>
      </c>
      <c r="K12" s="1" t="s">
        <v>61</v>
      </c>
      <c r="L12" s="1" t="s">
        <v>37</v>
      </c>
      <c r="M12" s="8">
        <f t="shared" si="0"/>
        <v>3276.75</v>
      </c>
      <c r="N12" s="8">
        <f t="shared" si="1"/>
        <v>3.0518043793392844E-4</v>
      </c>
      <c r="O12">
        <f t="shared" si="3"/>
        <v>32768</v>
      </c>
    </row>
    <row r="13" spans="1:15" ht="16.5" x14ac:dyDescent="0.3">
      <c r="A13" s="1">
        <v>111</v>
      </c>
      <c r="B13" s="1" t="s">
        <v>9</v>
      </c>
      <c r="C13" s="1" t="s">
        <v>82</v>
      </c>
      <c r="D13" s="1">
        <v>3</v>
      </c>
      <c r="E13" s="4">
        <v>0.01</v>
      </c>
      <c r="F13" s="4">
        <f t="shared" si="2"/>
        <v>1</v>
      </c>
      <c r="G13" s="4">
        <v>1</v>
      </c>
      <c r="H13" s="4">
        <v>0</v>
      </c>
      <c r="I13" s="4">
        <v>100</v>
      </c>
      <c r="J13" s="4" t="s">
        <v>51</v>
      </c>
      <c r="K13" s="1" t="s">
        <v>62</v>
      </c>
      <c r="L13" s="1" t="s">
        <v>38</v>
      </c>
      <c r="M13" s="8">
        <f t="shared" si="0"/>
        <v>655.35</v>
      </c>
      <c r="N13" s="8">
        <f t="shared" si="1"/>
        <v>1.5259021896696422E-3</v>
      </c>
      <c r="O13">
        <f t="shared" si="3"/>
        <v>655</v>
      </c>
    </row>
    <row r="14" spans="1:15" ht="16.5" x14ac:dyDescent="0.3">
      <c r="A14" s="1">
        <v>112</v>
      </c>
      <c r="B14" s="1" t="s">
        <v>9</v>
      </c>
      <c r="C14" s="1" t="s">
        <v>27</v>
      </c>
      <c r="D14" s="1">
        <v>0</v>
      </c>
      <c r="E14" s="1">
        <v>1</v>
      </c>
      <c r="F14" s="2">
        <f t="shared" si="2"/>
        <v>0</v>
      </c>
      <c r="G14" s="2">
        <v>0</v>
      </c>
      <c r="H14" s="2">
        <v>0</v>
      </c>
      <c r="I14" s="2">
        <v>1</v>
      </c>
      <c r="J14" s="2" t="s">
        <v>48</v>
      </c>
      <c r="K14" s="1" t="s">
        <v>22</v>
      </c>
      <c r="L14" s="1" t="s">
        <v>39</v>
      </c>
      <c r="M14" s="8">
        <f t="shared" si="0"/>
        <v>65535</v>
      </c>
      <c r="N14" s="8">
        <f t="shared" si="1"/>
        <v>1.5259021896696422E-5</v>
      </c>
      <c r="O14">
        <f t="shared" si="3"/>
        <v>0</v>
      </c>
    </row>
    <row r="15" spans="1:15" ht="16.5" x14ac:dyDescent="0.3">
      <c r="A15" s="1">
        <v>113</v>
      </c>
      <c r="B15" s="1" t="s">
        <v>11</v>
      </c>
      <c r="C15" s="1" t="s">
        <v>82</v>
      </c>
      <c r="D15" s="1">
        <v>2</v>
      </c>
      <c r="E15" s="1">
        <v>0.01</v>
      </c>
      <c r="F15" s="3">
        <f t="shared" si="2"/>
        <v>1</v>
      </c>
      <c r="G15" s="3">
        <v>1</v>
      </c>
      <c r="H15" s="3">
        <v>0</v>
      </c>
      <c r="I15" s="3">
        <v>1000</v>
      </c>
      <c r="J15" s="3" t="s">
        <v>52</v>
      </c>
      <c r="K15" s="1" t="s">
        <v>63</v>
      </c>
      <c r="L15" s="1" t="s">
        <v>10</v>
      </c>
      <c r="M15" s="8">
        <f t="shared" si="0"/>
        <v>65.534999999999997</v>
      </c>
      <c r="N15" s="8">
        <f t="shared" si="1"/>
        <v>1.5259021896696423E-2</v>
      </c>
      <c r="O15">
        <f t="shared" si="3"/>
        <v>66</v>
      </c>
    </row>
    <row r="16" spans="1:15" ht="16.5" x14ac:dyDescent="0.3">
      <c r="A16" s="1">
        <v>114</v>
      </c>
      <c r="B16" s="1" t="s">
        <v>11</v>
      </c>
      <c r="C16" s="1" t="s">
        <v>82</v>
      </c>
      <c r="D16" s="1">
        <v>2</v>
      </c>
      <c r="E16" s="1">
        <v>0.01</v>
      </c>
      <c r="F16" s="3">
        <f t="shared" si="2"/>
        <v>0</v>
      </c>
      <c r="G16" s="3">
        <v>0</v>
      </c>
      <c r="H16" s="3">
        <v>-500</v>
      </c>
      <c r="I16" s="3">
        <v>500</v>
      </c>
      <c r="J16" s="3" t="s">
        <v>52</v>
      </c>
      <c r="K16" s="1" t="s">
        <v>64</v>
      </c>
      <c r="L16" s="1" t="s">
        <v>12</v>
      </c>
      <c r="M16" s="8">
        <f t="shared" si="0"/>
        <v>65.534999999999997</v>
      </c>
      <c r="N16" s="8">
        <f t="shared" si="1"/>
        <v>1.5259021896696423E-2</v>
      </c>
      <c r="O16">
        <f t="shared" si="3"/>
        <v>32768</v>
      </c>
    </row>
    <row r="17" spans="1:15" ht="16.5" x14ac:dyDescent="0.3">
      <c r="A17" s="1">
        <v>115</v>
      </c>
      <c r="B17" s="1" t="s">
        <v>11</v>
      </c>
      <c r="C17" s="1" t="s">
        <v>82</v>
      </c>
      <c r="D17" s="1">
        <v>2</v>
      </c>
      <c r="E17" s="1">
        <v>0.01</v>
      </c>
      <c r="F17" s="3">
        <f t="shared" si="2"/>
        <v>1</v>
      </c>
      <c r="G17" s="3">
        <v>1</v>
      </c>
      <c r="H17" s="3">
        <v>0</v>
      </c>
      <c r="I17" s="3">
        <v>1000</v>
      </c>
      <c r="J17" s="3" t="s">
        <v>53</v>
      </c>
      <c r="K17" s="1" t="s">
        <v>65</v>
      </c>
      <c r="L17" s="1" t="s">
        <v>13</v>
      </c>
      <c r="M17" s="8">
        <f t="shared" si="0"/>
        <v>65.534999999999997</v>
      </c>
      <c r="N17" s="8">
        <f t="shared" si="1"/>
        <v>1.5259021896696423E-2</v>
      </c>
      <c r="O17">
        <f t="shared" si="3"/>
        <v>66</v>
      </c>
    </row>
    <row r="18" spans="1:15" ht="16.5" x14ac:dyDescent="0.3">
      <c r="A18" s="1">
        <v>116</v>
      </c>
      <c r="B18" s="1" t="s">
        <v>11</v>
      </c>
      <c r="C18" s="1" t="s">
        <v>82</v>
      </c>
      <c r="D18" s="1">
        <v>2</v>
      </c>
      <c r="E18" s="1">
        <v>0.01</v>
      </c>
      <c r="F18" s="3">
        <f t="shared" si="2"/>
        <v>0</v>
      </c>
      <c r="G18" s="3">
        <v>0</v>
      </c>
      <c r="H18" s="3">
        <v>-500</v>
      </c>
      <c r="I18" s="3">
        <v>500</v>
      </c>
      <c r="J18" s="3" t="s">
        <v>53</v>
      </c>
      <c r="K18" s="1" t="s">
        <v>66</v>
      </c>
      <c r="L18" s="1" t="s">
        <v>14</v>
      </c>
      <c r="M18" s="8">
        <f t="shared" si="0"/>
        <v>65.534999999999997</v>
      </c>
      <c r="N18" s="8">
        <f t="shared" si="1"/>
        <v>1.5259021896696423E-2</v>
      </c>
      <c r="O18">
        <f t="shared" si="3"/>
        <v>32768</v>
      </c>
    </row>
    <row r="19" spans="1:15" ht="16.5" x14ac:dyDescent="0.3">
      <c r="A19" s="1">
        <v>117</v>
      </c>
      <c r="B19" s="1" t="s">
        <v>11</v>
      </c>
      <c r="C19" s="1" t="s">
        <v>82</v>
      </c>
      <c r="D19" s="1">
        <v>2</v>
      </c>
      <c r="E19" s="1">
        <v>0.01</v>
      </c>
      <c r="F19" s="3">
        <f t="shared" si="2"/>
        <v>1</v>
      </c>
      <c r="G19" s="3">
        <v>1</v>
      </c>
      <c r="H19" s="3">
        <v>0</v>
      </c>
      <c r="I19" s="3">
        <v>1000</v>
      </c>
      <c r="J19" s="3" t="s">
        <v>54</v>
      </c>
      <c r="K19" s="1" t="s">
        <v>67</v>
      </c>
      <c r="L19" s="1" t="s">
        <v>15</v>
      </c>
      <c r="M19" s="8">
        <f t="shared" si="0"/>
        <v>65.534999999999997</v>
      </c>
      <c r="N19" s="8">
        <f t="shared" si="1"/>
        <v>1.5259021896696423E-2</v>
      </c>
      <c r="O19">
        <f t="shared" si="3"/>
        <v>66</v>
      </c>
    </row>
    <row r="20" spans="1:15" ht="16.5" x14ac:dyDescent="0.3">
      <c r="A20" s="1">
        <v>118</v>
      </c>
      <c r="B20" s="1" t="s">
        <v>11</v>
      </c>
      <c r="C20" s="1" t="s">
        <v>82</v>
      </c>
      <c r="D20" s="1">
        <v>2</v>
      </c>
      <c r="E20" s="1">
        <v>0.01</v>
      </c>
      <c r="F20" s="3">
        <f t="shared" si="2"/>
        <v>0</v>
      </c>
      <c r="G20" s="3">
        <v>0</v>
      </c>
      <c r="H20" s="3">
        <v>-500</v>
      </c>
      <c r="I20" s="3">
        <v>500</v>
      </c>
      <c r="J20" s="3" t="s">
        <v>54</v>
      </c>
      <c r="K20" s="1" t="s">
        <v>68</v>
      </c>
      <c r="L20" s="1" t="s">
        <v>16</v>
      </c>
      <c r="M20" s="8">
        <f t="shared" si="0"/>
        <v>65.534999999999997</v>
      </c>
      <c r="N20" s="8">
        <f t="shared" si="1"/>
        <v>1.5259021896696423E-2</v>
      </c>
      <c r="O20">
        <f t="shared" si="3"/>
        <v>32768</v>
      </c>
    </row>
    <row r="21" spans="1:15" ht="16.5" x14ac:dyDescent="0.3">
      <c r="A21" s="1">
        <v>119</v>
      </c>
      <c r="B21" s="1" t="s">
        <v>11</v>
      </c>
      <c r="C21" s="1" t="s">
        <v>82</v>
      </c>
      <c r="D21" s="1">
        <v>2</v>
      </c>
      <c r="E21" s="1">
        <v>0.01</v>
      </c>
      <c r="F21" s="3">
        <f t="shared" si="2"/>
        <v>1</v>
      </c>
      <c r="G21" s="3">
        <v>1</v>
      </c>
      <c r="H21" s="3">
        <v>0</v>
      </c>
      <c r="I21" s="3">
        <v>1000</v>
      </c>
      <c r="J21" s="3" t="s">
        <v>54</v>
      </c>
      <c r="K21" s="1" t="s">
        <v>69</v>
      </c>
      <c r="L21" s="1" t="s">
        <v>17</v>
      </c>
      <c r="M21" s="8">
        <f t="shared" si="0"/>
        <v>65.534999999999997</v>
      </c>
      <c r="N21" s="8">
        <f t="shared" si="1"/>
        <v>1.5259021896696423E-2</v>
      </c>
      <c r="O21">
        <f t="shared" si="3"/>
        <v>66</v>
      </c>
    </row>
    <row r="22" spans="1:15" ht="16.5" x14ac:dyDescent="0.3">
      <c r="A22" s="1">
        <v>120</v>
      </c>
      <c r="B22" s="1" t="s">
        <v>11</v>
      </c>
      <c r="C22" s="1" t="s">
        <v>82</v>
      </c>
      <c r="D22" s="1">
        <v>2</v>
      </c>
      <c r="E22" s="1">
        <v>0.01</v>
      </c>
      <c r="F22" s="3">
        <f t="shared" si="2"/>
        <v>0</v>
      </c>
      <c r="G22" s="3">
        <v>0</v>
      </c>
      <c r="H22" s="3">
        <v>-500</v>
      </c>
      <c r="I22" s="3">
        <v>500</v>
      </c>
      <c r="J22" s="3" t="s">
        <v>54</v>
      </c>
      <c r="K22" s="1" t="s">
        <v>70</v>
      </c>
      <c r="L22" s="1" t="s">
        <v>18</v>
      </c>
      <c r="M22" s="8">
        <f t="shared" si="0"/>
        <v>65.534999999999997</v>
      </c>
      <c r="N22" s="8">
        <f t="shared" si="1"/>
        <v>1.5259021896696423E-2</v>
      </c>
      <c r="O22">
        <f t="shared" si="3"/>
        <v>32768</v>
      </c>
    </row>
    <row r="23" spans="1:15" ht="16.5" x14ac:dyDescent="0.3">
      <c r="A23" s="1">
        <v>121</v>
      </c>
      <c r="B23" s="1" t="s">
        <v>11</v>
      </c>
      <c r="C23" s="1" t="s">
        <v>82</v>
      </c>
      <c r="D23" s="1">
        <v>2</v>
      </c>
      <c r="E23" s="1">
        <v>0.01</v>
      </c>
      <c r="F23" s="3">
        <f t="shared" si="2"/>
        <v>1</v>
      </c>
      <c r="G23" s="3">
        <v>1</v>
      </c>
      <c r="H23" s="3">
        <v>0</v>
      </c>
      <c r="I23" s="3">
        <v>1000</v>
      </c>
      <c r="J23" s="3" t="s">
        <v>55</v>
      </c>
      <c r="K23" s="1" t="s">
        <v>71</v>
      </c>
      <c r="L23" s="1" t="s">
        <v>19</v>
      </c>
      <c r="M23" s="8">
        <f t="shared" si="0"/>
        <v>65.534999999999997</v>
      </c>
      <c r="N23" s="8">
        <f t="shared" si="1"/>
        <v>1.5259021896696423E-2</v>
      </c>
      <c r="O23">
        <f t="shared" si="3"/>
        <v>66</v>
      </c>
    </row>
    <row r="24" spans="1:15" ht="16.5" x14ac:dyDescent="0.3">
      <c r="A24" s="1">
        <v>122</v>
      </c>
      <c r="B24" s="1" t="s">
        <v>11</v>
      </c>
      <c r="C24" s="1" t="s">
        <v>82</v>
      </c>
      <c r="D24" s="1">
        <v>2</v>
      </c>
      <c r="E24" s="1">
        <v>0.01</v>
      </c>
      <c r="F24" s="3">
        <f t="shared" si="2"/>
        <v>0</v>
      </c>
      <c r="G24" s="3">
        <v>0</v>
      </c>
      <c r="H24" s="3">
        <v>-500</v>
      </c>
      <c r="I24" s="3">
        <v>500</v>
      </c>
      <c r="J24" s="3" t="s">
        <v>55</v>
      </c>
      <c r="K24" s="1" t="s">
        <v>72</v>
      </c>
      <c r="L24" s="1" t="s">
        <v>20</v>
      </c>
      <c r="M24" s="8">
        <f t="shared" si="0"/>
        <v>65.534999999999997</v>
      </c>
      <c r="N24" s="8">
        <f t="shared" si="1"/>
        <v>1.5259021896696423E-2</v>
      </c>
      <c r="O24">
        <f t="shared" si="3"/>
        <v>32768</v>
      </c>
    </row>
    <row r="25" spans="1:15" ht="16.5" x14ac:dyDescent="0.3">
      <c r="A25" s="1">
        <v>123</v>
      </c>
      <c r="B25" s="1" t="s">
        <v>21</v>
      </c>
      <c r="C25" s="1" t="s">
        <v>82</v>
      </c>
      <c r="D25" s="1">
        <v>3</v>
      </c>
      <c r="E25" s="1">
        <v>0.01</v>
      </c>
      <c r="F25" s="4">
        <f t="shared" si="2"/>
        <v>1</v>
      </c>
      <c r="G25" s="4">
        <v>1</v>
      </c>
      <c r="H25" s="4">
        <v>0</v>
      </c>
      <c r="I25" s="4">
        <v>10</v>
      </c>
      <c r="J25" s="4" t="s">
        <v>53</v>
      </c>
      <c r="K25" s="1" t="s">
        <v>73</v>
      </c>
      <c r="L25" s="1" t="s">
        <v>40</v>
      </c>
      <c r="M25" s="8">
        <f t="shared" si="0"/>
        <v>6553.5</v>
      </c>
      <c r="N25" s="8">
        <f t="shared" si="1"/>
        <v>1.5259021896696422E-4</v>
      </c>
      <c r="O25">
        <f t="shared" si="3"/>
        <v>6554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0FBE-D217-47FF-9887-13843663AAE4}">
  <dimension ref="A1:M15"/>
  <sheetViews>
    <sheetView tabSelected="1" workbookViewId="0"/>
  </sheetViews>
  <sheetFormatPr defaultRowHeight="16.5" x14ac:dyDescent="0.3"/>
  <cols>
    <col min="1" max="1" width="9.7109375" style="13" bestFit="1" customWidth="1"/>
    <col min="2" max="2" width="14.7109375" style="13" bestFit="1" customWidth="1"/>
    <col min="3" max="3" width="4.85546875" style="13" bestFit="1" customWidth="1"/>
    <col min="4" max="4" width="8.28515625" style="13" bestFit="1" customWidth="1"/>
    <col min="5" max="5" width="9" style="13" bestFit="1" customWidth="1"/>
    <col min="6" max="6" width="7.140625" style="13" bestFit="1" customWidth="1"/>
    <col min="7" max="7" width="7.5703125" style="13" bestFit="1" customWidth="1"/>
    <col min="8" max="8" width="4.28515625" style="13" bestFit="1" customWidth="1"/>
    <col min="9" max="9" width="35.140625" style="13" bestFit="1" customWidth="1"/>
    <col min="10" max="10" width="32.140625" style="13" bestFit="1" customWidth="1"/>
    <col min="11" max="11" width="12.7109375" style="13" bestFit="1" customWidth="1"/>
    <col min="12" max="12" width="9.28515625" style="13" bestFit="1" customWidth="1"/>
    <col min="13" max="13" width="10.5703125" style="13" bestFit="1" customWidth="1"/>
    <col min="14" max="16384" width="9.140625" style="13"/>
  </cols>
  <sheetData>
    <row r="1" spans="1:13" x14ac:dyDescent="0.3">
      <c r="A1" s="1" t="s">
        <v>25</v>
      </c>
      <c r="B1" s="1" t="s">
        <v>6</v>
      </c>
      <c r="C1" s="1" t="s">
        <v>0</v>
      </c>
      <c r="D1" s="1" t="s">
        <v>118</v>
      </c>
      <c r="E1" s="7" t="s">
        <v>23</v>
      </c>
      <c r="F1" s="1" t="s">
        <v>3</v>
      </c>
      <c r="G1" s="1" t="s">
        <v>4</v>
      </c>
      <c r="H1" s="1" t="s">
        <v>41</v>
      </c>
      <c r="I1" s="1" t="s">
        <v>5</v>
      </c>
      <c r="J1" s="1" t="s">
        <v>1</v>
      </c>
      <c r="K1" s="4" t="s">
        <v>74</v>
      </c>
      <c r="L1" s="4" t="s">
        <v>119</v>
      </c>
      <c r="M1" s="13" t="s">
        <v>120</v>
      </c>
    </row>
    <row r="2" spans="1:13" x14ac:dyDescent="0.3">
      <c r="A2" s="1">
        <v>200</v>
      </c>
      <c r="B2" s="13" t="s">
        <v>83</v>
      </c>
      <c r="C2" s="1" t="s">
        <v>26</v>
      </c>
      <c r="D2" s="1">
        <v>0</v>
      </c>
      <c r="E2" s="2">
        <v>0</v>
      </c>
      <c r="F2" s="2">
        <v>0</v>
      </c>
      <c r="G2" s="2">
        <v>65535</v>
      </c>
      <c r="H2" s="6" t="s">
        <v>42</v>
      </c>
      <c r="I2" s="1" t="s">
        <v>109</v>
      </c>
      <c r="J2" s="13" t="s">
        <v>93</v>
      </c>
      <c r="K2" s="8">
        <f t="shared" ref="K2:K15" si="0">65535/(G2-F2)</f>
        <v>1</v>
      </c>
      <c r="L2" s="8">
        <f t="shared" ref="L2:L15" si="1">1/K2</f>
        <v>1</v>
      </c>
      <c r="M2" s="16">
        <f>ROUND((E2-F2)*K2,0)</f>
        <v>0</v>
      </c>
    </row>
    <row r="3" spans="1:13" x14ac:dyDescent="0.3">
      <c r="A3" s="1">
        <v>201</v>
      </c>
      <c r="B3" s="13" t="s">
        <v>83</v>
      </c>
      <c r="C3" s="1" t="s">
        <v>27</v>
      </c>
      <c r="D3" s="1">
        <v>0</v>
      </c>
      <c r="E3" s="2">
        <v>0</v>
      </c>
      <c r="F3" s="2">
        <v>0</v>
      </c>
      <c r="G3" s="2">
        <v>65535</v>
      </c>
      <c r="H3" s="6" t="s">
        <v>42</v>
      </c>
      <c r="I3" s="1" t="s">
        <v>110</v>
      </c>
      <c r="J3" s="13" t="s">
        <v>92</v>
      </c>
      <c r="K3" s="8">
        <f t="shared" si="0"/>
        <v>1</v>
      </c>
      <c r="L3" s="8">
        <f t="shared" si="1"/>
        <v>1</v>
      </c>
      <c r="M3" s="16">
        <f t="shared" ref="M3:M15" si="2">ROUND((E3-F3)*K3,0)</f>
        <v>0</v>
      </c>
    </row>
    <row r="4" spans="1:13" x14ac:dyDescent="0.3">
      <c r="A4" s="1">
        <v>202</v>
      </c>
      <c r="B4" s="13" t="s">
        <v>84</v>
      </c>
      <c r="C4" s="1" t="s">
        <v>82</v>
      </c>
      <c r="D4" s="1">
        <v>2</v>
      </c>
      <c r="E4" s="3">
        <v>0</v>
      </c>
      <c r="F4" s="3">
        <v>0</v>
      </c>
      <c r="G4" s="3">
        <v>600</v>
      </c>
      <c r="H4" s="13" t="s">
        <v>52</v>
      </c>
      <c r="I4" s="1" t="s">
        <v>113</v>
      </c>
      <c r="J4" s="13" t="s">
        <v>94</v>
      </c>
      <c r="K4" s="8">
        <f t="shared" si="0"/>
        <v>109.22499999999999</v>
      </c>
      <c r="L4" s="8">
        <f t="shared" si="1"/>
        <v>9.1554131380178535E-3</v>
      </c>
      <c r="M4" s="16">
        <f t="shared" si="2"/>
        <v>0</v>
      </c>
    </row>
    <row r="5" spans="1:13" x14ac:dyDescent="0.3">
      <c r="A5" s="1">
        <v>203</v>
      </c>
      <c r="B5" s="13" t="s">
        <v>84</v>
      </c>
      <c r="C5" s="1" t="s">
        <v>82</v>
      </c>
      <c r="D5" s="1">
        <v>3</v>
      </c>
      <c r="E5" s="4">
        <v>0</v>
      </c>
      <c r="F5" s="4">
        <v>0</v>
      </c>
      <c r="G5" s="4">
        <v>50</v>
      </c>
      <c r="H5" s="13" t="s">
        <v>53</v>
      </c>
      <c r="I5" s="1" t="s">
        <v>114</v>
      </c>
      <c r="J5" s="13" t="s">
        <v>95</v>
      </c>
      <c r="K5" s="8">
        <f t="shared" si="0"/>
        <v>1310.7</v>
      </c>
      <c r="L5" s="8">
        <f t="shared" si="1"/>
        <v>7.6295109483482109E-4</v>
      </c>
      <c r="M5" s="16">
        <f t="shared" si="2"/>
        <v>0</v>
      </c>
    </row>
    <row r="6" spans="1:13" x14ac:dyDescent="0.3">
      <c r="A6" s="1">
        <v>204</v>
      </c>
      <c r="B6" s="13" t="s">
        <v>84</v>
      </c>
      <c r="C6" s="1" t="s">
        <v>82</v>
      </c>
      <c r="D6" s="1">
        <v>2</v>
      </c>
      <c r="E6" s="3">
        <v>0</v>
      </c>
      <c r="F6" s="3">
        <v>0</v>
      </c>
      <c r="G6" s="3">
        <v>600</v>
      </c>
      <c r="H6" s="13" t="s">
        <v>52</v>
      </c>
      <c r="I6" s="1" t="s">
        <v>115</v>
      </c>
      <c r="J6" s="13" t="s">
        <v>96</v>
      </c>
      <c r="K6" s="8">
        <f t="shared" si="0"/>
        <v>109.22499999999999</v>
      </c>
      <c r="L6" s="8">
        <f t="shared" si="1"/>
        <v>9.1554131380178535E-3</v>
      </c>
      <c r="M6" s="16">
        <f t="shared" si="2"/>
        <v>0</v>
      </c>
    </row>
    <row r="7" spans="1:13" x14ac:dyDescent="0.3">
      <c r="A7" s="1">
        <v>205</v>
      </c>
      <c r="B7" s="13" t="s">
        <v>84</v>
      </c>
      <c r="C7" s="13" t="s">
        <v>82</v>
      </c>
      <c r="D7" s="1">
        <v>3</v>
      </c>
      <c r="E7" s="4">
        <v>0</v>
      </c>
      <c r="F7" s="4">
        <v>0</v>
      </c>
      <c r="G7" s="4">
        <v>50</v>
      </c>
      <c r="H7" s="13" t="s">
        <v>53</v>
      </c>
      <c r="I7" s="13" t="s">
        <v>116</v>
      </c>
      <c r="J7" s="13" t="s">
        <v>97</v>
      </c>
      <c r="K7" s="8">
        <f t="shared" si="0"/>
        <v>1310.7</v>
      </c>
      <c r="L7" s="8">
        <f t="shared" si="1"/>
        <v>7.6295109483482109E-4</v>
      </c>
      <c r="M7" s="16">
        <f t="shared" si="2"/>
        <v>0</v>
      </c>
    </row>
    <row r="8" spans="1:13" x14ac:dyDescent="0.3">
      <c r="A8" s="1">
        <v>206</v>
      </c>
      <c r="B8" s="13" t="s">
        <v>84</v>
      </c>
      <c r="C8" s="13" t="s">
        <v>82</v>
      </c>
      <c r="D8" s="1">
        <v>2</v>
      </c>
      <c r="E8" s="3">
        <v>0</v>
      </c>
      <c r="F8" s="3">
        <v>-20</v>
      </c>
      <c r="G8" s="3">
        <v>180</v>
      </c>
      <c r="H8" s="13" t="s">
        <v>54</v>
      </c>
      <c r="I8" s="13" t="s">
        <v>106</v>
      </c>
      <c r="J8" s="13" t="s">
        <v>98</v>
      </c>
      <c r="K8" s="8">
        <f t="shared" si="0"/>
        <v>327.67500000000001</v>
      </c>
      <c r="L8" s="8">
        <f t="shared" si="1"/>
        <v>3.0518043793392844E-3</v>
      </c>
      <c r="M8" s="16">
        <f t="shared" si="2"/>
        <v>6554</v>
      </c>
    </row>
    <row r="9" spans="1:13" x14ac:dyDescent="0.3">
      <c r="A9" s="1">
        <v>207</v>
      </c>
      <c r="B9" s="13" t="s">
        <v>84</v>
      </c>
      <c r="C9" s="13" t="s">
        <v>82</v>
      </c>
      <c r="D9" s="1">
        <v>2</v>
      </c>
      <c r="E9" s="3">
        <v>0</v>
      </c>
      <c r="F9" s="3">
        <v>-20</v>
      </c>
      <c r="G9" s="3">
        <v>180</v>
      </c>
      <c r="H9" s="13" t="s">
        <v>54</v>
      </c>
      <c r="I9" s="13" t="s">
        <v>107</v>
      </c>
      <c r="J9" s="13" t="s">
        <v>99</v>
      </c>
      <c r="K9" s="8">
        <f t="shared" si="0"/>
        <v>327.67500000000001</v>
      </c>
      <c r="L9" s="8">
        <f t="shared" si="1"/>
        <v>3.0518043793392844E-3</v>
      </c>
      <c r="M9" s="16">
        <f t="shared" si="2"/>
        <v>6554</v>
      </c>
    </row>
    <row r="10" spans="1:13" x14ac:dyDescent="0.3">
      <c r="A10" s="1">
        <v>208</v>
      </c>
      <c r="B10" s="13" t="s">
        <v>84</v>
      </c>
      <c r="C10" s="13" t="s">
        <v>82</v>
      </c>
      <c r="D10" s="1">
        <v>3</v>
      </c>
      <c r="E10" s="4">
        <v>0</v>
      </c>
      <c r="F10" s="4">
        <v>0</v>
      </c>
      <c r="G10" s="4">
        <v>1</v>
      </c>
      <c r="H10" s="13" t="s">
        <v>55</v>
      </c>
      <c r="I10" s="13" t="s">
        <v>105</v>
      </c>
      <c r="J10" s="13" t="s">
        <v>100</v>
      </c>
      <c r="K10" s="8">
        <f t="shared" si="0"/>
        <v>65535</v>
      </c>
      <c r="L10" s="8">
        <f t="shared" si="1"/>
        <v>1.5259021896696422E-5</v>
      </c>
      <c r="M10" s="16">
        <f t="shared" si="2"/>
        <v>0</v>
      </c>
    </row>
    <row r="11" spans="1:13" x14ac:dyDescent="0.3">
      <c r="A11" s="1">
        <v>209</v>
      </c>
      <c r="B11" s="13" t="s">
        <v>85</v>
      </c>
      <c r="C11" s="13" t="s">
        <v>82</v>
      </c>
      <c r="D11" s="1">
        <v>2</v>
      </c>
      <c r="E11" s="3">
        <v>0</v>
      </c>
      <c r="F11" s="3">
        <v>0</v>
      </c>
      <c r="G11" s="3">
        <v>359.99</v>
      </c>
      <c r="H11" s="13" t="s">
        <v>49</v>
      </c>
      <c r="I11" s="13" t="s">
        <v>102</v>
      </c>
      <c r="J11" s="13" t="s">
        <v>89</v>
      </c>
      <c r="K11" s="8">
        <f t="shared" si="0"/>
        <v>182.04672352009777</v>
      </c>
      <c r="L11" s="8">
        <f t="shared" si="1"/>
        <v>5.493095292591745E-3</v>
      </c>
      <c r="M11" s="16">
        <f t="shared" si="2"/>
        <v>0</v>
      </c>
    </row>
    <row r="12" spans="1:13" x14ac:dyDescent="0.3">
      <c r="A12" s="1">
        <v>210</v>
      </c>
      <c r="B12" s="13" t="s">
        <v>86</v>
      </c>
      <c r="C12" s="13" t="s">
        <v>82</v>
      </c>
      <c r="D12" s="1">
        <v>3</v>
      </c>
      <c r="E12" s="4">
        <v>0</v>
      </c>
      <c r="F12" s="4">
        <v>0</v>
      </c>
      <c r="G12" s="4">
        <v>50</v>
      </c>
      <c r="H12" s="13" t="s">
        <v>50</v>
      </c>
      <c r="I12" s="13" t="s">
        <v>117</v>
      </c>
      <c r="J12" s="13" t="s">
        <v>90</v>
      </c>
      <c r="K12" s="8">
        <f t="shared" si="0"/>
        <v>1310.7</v>
      </c>
      <c r="L12" s="8">
        <f t="shared" si="1"/>
        <v>7.6295109483482109E-4</v>
      </c>
      <c r="M12" s="16">
        <f t="shared" si="2"/>
        <v>0</v>
      </c>
    </row>
    <row r="13" spans="1:13" x14ac:dyDescent="0.3">
      <c r="A13" s="1">
        <v>211</v>
      </c>
      <c r="B13" s="13" t="s">
        <v>87</v>
      </c>
      <c r="C13" s="13" t="s">
        <v>27</v>
      </c>
      <c r="D13" s="1">
        <v>0</v>
      </c>
      <c r="E13" s="1">
        <v>0</v>
      </c>
      <c r="F13" s="1">
        <v>0</v>
      </c>
      <c r="G13" s="1">
        <v>65535</v>
      </c>
      <c r="H13" s="13" t="s">
        <v>44</v>
      </c>
      <c r="I13" s="13" t="s">
        <v>103</v>
      </c>
      <c r="J13" s="13" t="s">
        <v>112</v>
      </c>
      <c r="K13" s="8">
        <f t="shared" si="0"/>
        <v>1</v>
      </c>
      <c r="L13" s="8">
        <f t="shared" si="1"/>
        <v>1</v>
      </c>
      <c r="M13" s="16">
        <f t="shared" si="2"/>
        <v>0</v>
      </c>
    </row>
    <row r="14" spans="1:13" x14ac:dyDescent="0.3">
      <c r="A14" s="1">
        <v>212</v>
      </c>
      <c r="B14" s="13" t="s">
        <v>87</v>
      </c>
      <c r="C14" s="13" t="s">
        <v>27</v>
      </c>
      <c r="D14" s="1">
        <v>0</v>
      </c>
      <c r="E14" s="1">
        <v>0</v>
      </c>
      <c r="F14" s="1">
        <v>0</v>
      </c>
      <c r="G14" s="1">
        <v>65535</v>
      </c>
      <c r="H14" s="14" t="s">
        <v>42</v>
      </c>
      <c r="I14" s="13" t="s">
        <v>88</v>
      </c>
      <c r="J14" s="13" t="s">
        <v>111</v>
      </c>
      <c r="K14" s="8">
        <f t="shared" si="0"/>
        <v>1</v>
      </c>
      <c r="L14" s="8">
        <f t="shared" si="1"/>
        <v>1</v>
      </c>
      <c r="M14" s="16">
        <f t="shared" si="2"/>
        <v>0</v>
      </c>
    </row>
    <row r="15" spans="1:13" x14ac:dyDescent="0.3">
      <c r="A15" s="1">
        <v>213</v>
      </c>
      <c r="B15" s="13" t="s">
        <v>85</v>
      </c>
      <c r="C15" s="13" t="s">
        <v>82</v>
      </c>
      <c r="D15" s="1">
        <v>2</v>
      </c>
      <c r="E15" s="3">
        <v>0</v>
      </c>
      <c r="F15" s="3">
        <v>0</v>
      </c>
      <c r="G15" s="3">
        <v>65</v>
      </c>
      <c r="H15" s="13" t="s">
        <v>51</v>
      </c>
      <c r="I15" s="13" t="s">
        <v>104</v>
      </c>
      <c r="J15" s="13" t="s">
        <v>91</v>
      </c>
      <c r="K15" s="8">
        <f t="shared" si="0"/>
        <v>1008.2307692307693</v>
      </c>
      <c r="L15" s="8">
        <f t="shared" si="1"/>
        <v>9.9183642328526736E-4</v>
      </c>
      <c r="M15" s="16">
        <f t="shared" si="2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66B6F-A4A4-4CC7-B098-C1D0A92C1985}">
  <sheetPr codeName="Foglio2"/>
  <dimension ref="A1:M15"/>
  <sheetViews>
    <sheetView workbookViewId="0">
      <selection activeCell="E13" sqref="E13"/>
    </sheetView>
  </sheetViews>
  <sheetFormatPr defaultRowHeight="15" x14ac:dyDescent="0.25"/>
  <cols>
    <col min="1" max="1" width="3" bestFit="1" customWidth="1"/>
    <col min="2" max="2" width="2" bestFit="1" customWidth="1"/>
    <col min="3" max="3" width="4.85546875" bestFit="1" customWidth="1"/>
    <col min="4" max="4" width="16.5703125" bestFit="1" customWidth="1"/>
    <col min="5" max="5" width="17.28515625" bestFit="1" customWidth="1"/>
    <col min="6" max="6" width="16.5703125" bestFit="1" customWidth="1"/>
    <col min="7" max="7" width="6" bestFit="1" customWidth="1"/>
    <col min="8" max="8" width="11" bestFit="1" customWidth="1"/>
  </cols>
  <sheetData>
    <row r="1" spans="1:13" s="1" customFormat="1" ht="16.5" x14ac:dyDescent="0.3">
      <c r="A1" s="9" t="s">
        <v>76</v>
      </c>
      <c r="B1" s="9" t="s">
        <v>77</v>
      </c>
      <c r="C1" s="10" t="s">
        <v>81</v>
      </c>
      <c r="D1" s="9" t="s">
        <v>78</v>
      </c>
      <c r="E1" s="10" t="s">
        <v>79</v>
      </c>
      <c r="F1" s="10" t="s">
        <v>80</v>
      </c>
      <c r="G1" s="9"/>
      <c r="H1" s="9" t="s">
        <v>75</v>
      </c>
      <c r="L1" s="4"/>
      <c r="M1" s="4"/>
    </row>
    <row r="2" spans="1:13" s="1" customFormat="1" ht="16.5" x14ac:dyDescent="0.3">
      <c r="A2" s="9">
        <v>16</v>
      </c>
      <c r="B2" s="9">
        <v>0</v>
      </c>
      <c r="C2" s="10">
        <f t="shared" ref="C2:C10" si="0">POWER(2,B2)</f>
        <v>1</v>
      </c>
      <c r="D2" s="11">
        <f t="shared" ref="D2:D10" si="1">ROUND((POWER(2,A2)-H2), B2)</f>
        <v>65535</v>
      </c>
      <c r="E2" s="11">
        <f t="shared" ref="E2:E10" si="2">ROUND((-D2/2),B2)</f>
        <v>-32768</v>
      </c>
      <c r="F2" s="11">
        <f t="shared" ref="F2:F10" si="3">ROUND((D2/2-H2),B2)</f>
        <v>32767</v>
      </c>
      <c r="G2" s="12">
        <f t="shared" ref="G2:G10" si="4">ROUND(D2*POWER(2,B2),0)</f>
        <v>65535</v>
      </c>
      <c r="H2" s="9">
        <f t="shared" ref="H2:H10" si="5">1/POWER(2,B2)</f>
        <v>1</v>
      </c>
      <c r="L2" s="4"/>
      <c r="M2" s="4"/>
    </row>
    <row r="3" spans="1:13" s="1" customFormat="1" ht="16.5" x14ac:dyDescent="0.3">
      <c r="A3" s="9">
        <v>15</v>
      </c>
      <c r="B3" s="9">
        <v>1</v>
      </c>
      <c r="C3" s="10">
        <f t="shared" si="0"/>
        <v>2</v>
      </c>
      <c r="D3" s="11">
        <f t="shared" si="1"/>
        <v>32767.5</v>
      </c>
      <c r="E3" s="11">
        <f t="shared" si="2"/>
        <v>-16383.8</v>
      </c>
      <c r="F3" s="11">
        <f t="shared" si="3"/>
        <v>16383.3</v>
      </c>
      <c r="G3" s="12">
        <f t="shared" si="4"/>
        <v>65535</v>
      </c>
      <c r="H3" s="9">
        <f t="shared" si="5"/>
        <v>0.5</v>
      </c>
      <c r="L3" s="4"/>
      <c r="M3" s="4"/>
    </row>
    <row r="4" spans="1:13" s="1" customFormat="1" ht="16.5" x14ac:dyDescent="0.3">
      <c r="A4" s="9">
        <v>14</v>
      </c>
      <c r="B4" s="9">
        <v>2</v>
      </c>
      <c r="C4" s="10">
        <f t="shared" si="0"/>
        <v>4</v>
      </c>
      <c r="D4" s="11">
        <f t="shared" si="1"/>
        <v>16383.75</v>
      </c>
      <c r="E4" s="11">
        <f t="shared" si="2"/>
        <v>-8191.88</v>
      </c>
      <c r="F4" s="11">
        <f t="shared" si="3"/>
        <v>8191.63</v>
      </c>
      <c r="G4" s="12">
        <f t="shared" si="4"/>
        <v>65535</v>
      </c>
      <c r="H4" s="9">
        <f t="shared" si="5"/>
        <v>0.25</v>
      </c>
      <c r="L4" s="4"/>
      <c r="M4" s="4"/>
    </row>
    <row r="5" spans="1:13" s="1" customFormat="1" ht="16.5" x14ac:dyDescent="0.3">
      <c r="A5" s="9">
        <v>13</v>
      </c>
      <c r="B5" s="9">
        <v>3</v>
      </c>
      <c r="C5" s="10">
        <f t="shared" si="0"/>
        <v>8</v>
      </c>
      <c r="D5" s="11">
        <f t="shared" si="1"/>
        <v>8191.875</v>
      </c>
      <c r="E5" s="11">
        <f t="shared" si="2"/>
        <v>-4095.9380000000001</v>
      </c>
      <c r="F5" s="11">
        <f t="shared" si="3"/>
        <v>4095.8130000000001</v>
      </c>
      <c r="G5" s="12">
        <f t="shared" si="4"/>
        <v>65535</v>
      </c>
      <c r="H5" s="9">
        <f t="shared" si="5"/>
        <v>0.125</v>
      </c>
      <c r="L5" s="4"/>
      <c r="M5" s="4"/>
    </row>
    <row r="6" spans="1:13" s="1" customFormat="1" ht="16.5" x14ac:dyDescent="0.3">
      <c r="A6" s="9">
        <v>12</v>
      </c>
      <c r="B6" s="9">
        <v>4</v>
      </c>
      <c r="C6" s="10">
        <f t="shared" si="0"/>
        <v>16</v>
      </c>
      <c r="D6" s="11">
        <f t="shared" si="1"/>
        <v>4095.9375</v>
      </c>
      <c r="E6" s="11">
        <f t="shared" si="2"/>
        <v>-2047.9688000000001</v>
      </c>
      <c r="F6" s="11">
        <f t="shared" si="3"/>
        <v>2047.9063000000001</v>
      </c>
      <c r="G6" s="12">
        <f t="shared" si="4"/>
        <v>65535</v>
      </c>
      <c r="H6" s="9">
        <f t="shared" si="5"/>
        <v>6.25E-2</v>
      </c>
      <c r="L6" s="4"/>
      <c r="M6" s="4"/>
    </row>
    <row r="7" spans="1:13" s="1" customFormat="1" ht="16.5" x14ac:dyDescent="0.3">
      <c r="A7" s="9">
        <v>11</v>
      </c>
      <c r="B7" s="9">
        <v>5</v>
      </c>
      <c r="C7" s="10">
        <f t="shared" si="0"/>
        <v>32</v>
      </c>
      <c r="D7" s="11">
        <f t="shared" si="1"/>
        <v>2047.96875</v>
      </c>
      <c r="E7" s="11">
        <f t="shared" si="2"/>
        <v>-1023.98438</v>
      </c>
      <c r="F7" s="11">
        <f t="shared" si="3"/>
        <v>1023.95313</v>
      </c>
      <c r="G7" s="12">
        <f t="shared" si="4"/>
        <v>65535</v>
      </c>
      <c r="H7" s="9">
        <f t="shared" si="5"/>
        <v>3.125E-2</v>
      </c>
      <c r="L7" s="4"/>
      <c r="M7" s="4"/>
    </row>
    <row r="8" spans="1:13" s="1" customFormat="1" ht="16.5" x14ac:dyDescent="0.3">
      <c r="A8" s="9">
        <v>10</v>
      </c>
      <c r="B8" s="9">
        <v>6</v>
      </c>
      <c r="C8" s="10">
        <f t="shared" si="0"/>
        <v>64</v>
      </c>
      <c r="D8" s="11">
        <f t="shared" si="1"/>
        <v>1023.984375</v>
      </c>
      <c r="E8" s="11">
        <f t="shared" si="2"/>
        <v>-511.992188</v>
      </c>
      <c r="F8" s="11">
        <f t="shared" si="3"/>
        <v>511.976563</v>
      </c>
      <c r="G8" s="12">
        <f t="shared" si="4"/>
        <v>65535</v>
      </c>
      <c r="H8" s="9">
        <f t="shared" si="5"/>
        <v>1.5625E-2</v>
      </c>
      <c r="L8" s="4"/>
      <c r="M8" s="4"/>
    </row>
    <row r="9" spans="1:13" s="1" customFormat="1" ht="16.5" x14ac:dyDescent="0.3">
      <c r="A9" s="10">
        <v>9</v>
      </c>
      <c r="B9" s="10">
        <v>7</v>
      </c>
      <c r="C9" s="10">
        <f t="shared" si="0"/>
        <v>128</v>
      </c>
      <c r="D9" s="11">
        <f t="shared" si="1"/>
        <v>511.9921875</v>
      </c>
      <c r="E9" s="11">
        <f t="shared" si="2"/>
        <v>-255.99609380000001</v>
      </c>
      <c r="F9" s="11">
        <f t="shared" si="3"/>
        <v>255.98828130000001</v>
      </c>
      <c r="G9" s="12">
        <f t="shared" si="4"/>
        <v>65535</v>
      </c>
      <c r="H9" s="10">
        <f t="shared" si="5"/>
        <v>7.8125E-3</v>
      </c>
      <c r="L9" s="4"/>
      <c r="M9" s="4"/>
    </row>
    <row r="10" spans="1:13" s="1" customFormat="1" ht="16.5" x14ac:dyDescent="0.3">
      <c r="A10" s="10">
        <v>8</v>
      </c>
      <c r="B10" s="10">
        <v>8</v>
      </c>
      <c r="C10" s="10">
        <f t="shared" si="0"/>
        <v>256</v>
      </c>
      <c r="D10" s="11">
        <f t="shared" si="1"/>
        <v>255.99609375</v>
      </c>
      <c r="E10" s="11">
        <f t="shared" si="2"/>
        <v>-127.99804688</v>
      </c>
      <c r="F10" s="11">
        <f t="shared" si="3"/>
        <v>127.99414063</v>
      </c>
      <c r="G10" s="12">
        <f t="shared" si="4"/>
        <v>65535</v>
      </c>
      <c r="H10" s="10">
        <f t="shared" si="5"/>
        <v>3.90625E-3</v>
      </c>
      <c r="L10" s="4"/>
      <c r="M10" s="4"/>
    </row>
    <row r="15" spans="1:13" x14ac:dyDescent="0.25">
      <c r="E15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params_data</vt:lpstr>
      <vt:lpstr>process_data</vt:lpstr>
      <vt:lpstr>fixed_point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Grittini, Luca</dc:creator>
  <cp:lastModifiedBy>Grittini, Luca</cp:lastModifiedBy>
  <dcterms:created xsi:type="dcterms:W3CDTF">2023-08-10T13:53:19Z</dcterms:created>
  <dcterms:modified xsi:type="dcterms:W3CDTF">2023-08-16T23:25:04Z</dcterms:modified>
</cp:coreProperties>
</file>